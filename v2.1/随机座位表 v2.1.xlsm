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\广西柳州高级中学\"/>
    </mc:Choice>
  </mc:AlternateContent>
  <xr:revisionPtr revIDLastSave="0" documentId="13_ncr:1_{72F7C7F0-1643-4E48-A9F6-E4E9A6124454}" xr6:coauthVersionLast="45" xr6:coauthVersionMax="45" xr10:uidLastSave="{00000000-0000-0000-0000-000000000000}"/>
  <bookViews>
    <workbookView xWindow="-96" yWindow="-96" windowWidth="23232" windowHeight="12552" activeTab="5" xr2:uid="{FFB7666F-211F-43C0-93F2-52B86D603223}"/>
  </bookViews>
  <sheets>
    <sheet name="导入名单" sheetId="2" r:id="rId1"/>
    <sheet name="女生" sheetId="3" r:id="rId2"/>
    <sheet name="男生" sheetId="4" r:id="rId3"/>
    <sheet name="填充" sheetId="9" r:id="rId4"/>
    <sheet name="整理" sheetId="8" r:id="rId5"/>
    <sheet name="座位表" sheetId="1" r:id="rId6"/>
  </sheets>
  <definedNames>
    <definedName name="_xlnm._FilterDatabase" localSheetId="2" hidden="1">男生!$A$1:$B$37</definedName>
    <definedName name="_xlnm._FilterDatabase" localSheetId="1" hidden="1">女生!$A$1:$B$31</definedName>
    <definedName name="_xlnm.Print_Area" localSheetId="5">座位表!$A$1:$P$13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8" l="1"/>
  <c r="A5" i="8"/>
  <c r="A6" i="8"/>
  <c r="A7" i="8"/>
  <c r="A8" i="8"/>
  <c r="A9" i="8"/>
  <c r="A10" i="8"/>
  <c r="B10" i="4"/>
  <c r="B19" i="4"/>
  <c r="B31" i="4"/>
  <c r="B6" i="4"/>
  <c r="B4" i="4"/>
  <c r="B33" i="4"/>
  <c r="B22" i="4"/>
  <c r="B16" i="4"/>
  <c r="B20" i="4"/>
  <c r="B23" i="4"/>
  <c r="B37" i="4"/>
  <c r="B27" i="4"/>
  <c r="B7" i="4"/>
  <c r="B3" i="4"/>
  <c r="B14" i="4"/>
  <c r="B2" i="4"/>
  <c r="B12" i="4"/>
  <c r="B35" i="4"/>
  <c r="B18" i="4"/>
  <c r="B13" i="4"/>
  <c r="B28" i="4"/>
  <c r="B36" i="4"/>
  <c r="B30" i="4"/>
  <c r="B34" i="4"/>
  <c r="B21" i="4"/>
  <c r="B25" i="4"/>
  <c r="B32" i="4"/>
  <c r="B26" i="4"/>
  <c r="B17" i="4"/>
  <c r="B24" i="4"/>
  <c r="B11" i="4"/>
  <c r="B29" i="4"/>
  <c r="B5" i="4"/>
  <c r="B15" i="4"/>
  <c r="B8" i="4"/>
  <c r="B9" i="4"/>
  <c r="B6" i="3"/>
  <c r="B22" i="3"/>
  <c r="B17" i="3"/>
  <c r="B10" i="3"/>
  <c r="B25" i="3"/>
  <c r="B4" i="3"/>
  <c r="B19" i="3"/>
  <c r="B3" i="3"/>
  <c r="B11" i="3"/>
  <c r="B29" i="3"/>
  <c r="B16" i="3"/>
  <c r="B27" i="3"/>
  <c r="B13" i="3"/>
  <c r="B18" i="3"/>
  <c r="B2" i="3"/>
  <c r="B7" i="3"/>
  <c r="B20" i="3"/>
  <c r="B31" i="3"/>
  <c r="B28" i="3"/>
  <c r="B8" i="3"/>
  <c r="B9" i="3"/>
  <c r="B12" i="3"/>
  <c r="B26" i="3"/>
  <c r="B30" i="3"/>
  <c r="B15" i="3"/>
  <c r="B23" i="3"/>
  <c r="B21" i="3"/>
  <c r="B14" i="3"/>
  <c r="B24" i="3"/>
  <c r="B5" i="3"/>
  <c r="A16" i="8"/>
  <c r="A15" i="8"/>
  <c r="A14" i="8"/>
  <c r="A13" i="8"/>
  <c r="A12" i="8" l="1"/>
  <c r="A3" i="8"/>
  <c r="F2" i="2"/>
  <c r="K10" i="9"/>
  <c r="J10" i="9"/>
  <c r="I10" i="9"/>
  <c r="H10" i="9"/>
  <c r="G10" i="9"/>
  <c r="F10" i="9"/>
  <c r="E10" i="9"/>
  <c r="D10" i="9"/>
  <c r="C10" i="9"/>
  <c r="B10" i="9"/>
  <c r="K9" i="9"/>
  <c r="J9" i="9"/>
  <c r="I9" i="9"/>
  <c r="H9" i="9"/>
  <c r="G9" i="9"/>
  <c r="F9" i="9"/>
  <c r="E9" i="9"/>
  <c r="D9" i="9"/>
  <c r="C9" i="9"/>
  <c r="B9" i="9"/>
  <c r="K8" i="9"/>
  <c r="J8" i="9"/>
  <c r="I8" i="9"/>
  <c r="H8" i="9"/>
  <c r="G8" i="9"/>
  <c r="F8" i="9"/>
  <c r="E8" i="9"/>
  <c r="D8" i="9"/>
  <c r="C8" i="9"/>
  <c r="B8" i="9"/>
  <c r="K7" i="9"/>
  <c r="J7" i="9"/>
  <c r="I7" i="9"/>
  <c r="H7" i="9"/>
  <c r="G7" i="9"/>
  <c r="F7" i="9"/>
  <c r="E7" i="9"/>
  <c r="D7" i="9"/>
  <c r="C7" i="9"/>
  <c r="B7" i="9"/>
  <c r="K6" i="9"/>
  <c r="J6" i="9"/>
  <c r="I6" i="9"/>
  <c r="H6" i="9"/>
  <c r="G6" i="9"/>
  <c r="F6" i="9"/>
  <c r="E6" i="9"/>
  <c r="D6" i="9"/>
  <c r="C6" i="9"/>
  <c r="B6" i="9"/>
  <c r="K5" i="9"/>
  <c r="J5" i="9"/>
  <c r="I5" i="9"/>
  <c r="H5" i="9"/>
  <c r="G5" i="9"/>
  <c r="F5" i="9"/>
  <c r="E5" i="9"/>
  <c r="D5" i="9"/>
  <c r="C5" i="9"/>
  <c r="B5" i="9"/>
  <c r="K4" i="9"/>
  <c r="J4" i="9"/>
  <c r="I4" i="9"/>
  <c r="H4" i="9"/>
  <c r="G4" i="9"/>
  <c r="F4" i="9"/>
  <c r="E4" i="9"/>
  <c r="D4" i="9"/>
  <c r="C4" i="9"/>
  <c r="B4" i="9"/>
  <c r="F6" i="2"/>
  <c r="F3" i="2"/>
  <c r="F7" i="2" s="1"/>
  <c r="F10" i="2" l="1"/>
  <c r="F11" i="2"/>
  <c r="F8" i="2"/>
  <c r="F4" i="2"/>
  <c r="F12" i="2" l="1"/>
</calcChain>
</file>

<file path=xl/sharedStrings.xml><?xml version="1.0" encoding="utf-8"?>
<sst xmlns="http://schemas.openxmlformats.org/spreadsheetml/2006/main" count="346" uniqueCount="76">
  <si>
    <t>序号</t>
    <phoneticPr fontId="1" type="noConversion"/>
  </si>
  <si>
    <t>男1</t>
  </si>
  <si>
    <t>男1</t>
    <phoneticPr fontId="1" type="noConversion"/>
  </si>
  <si>
    <t>女1</t>
  </si>
  <si>
    <t>女1</t>
    <phoneticPr fontId="1" type="noConversion"/>
  </si>
  <si>
    <t>女2</t>
  </si>
  <si>
    <t>女3</t>
  </si>
  <si>
    <t>女4</t>
  </si>
  <si>
    <t>女5</t>
  </si>
  <si>
    <t>女6</t>
  </si>
  <si>
    <t>女7</t>
  </si>
  <si>
    <t>女8</t>
  </si>
  <si>
    <t>女9</t>
  </si>
  <si>
    <t>女10</t>
  </si>
  <si>
    <t>女11</t>
  </si>
  <si>
    <t>女12</t>
  </si>
  <si>
    <t>女13</t>
  </si>
  <si>
    <t>女14</t>
  </si>
  <si>
    <t>女15</t>
  </si>
  <si>
    <t>女16</t>
  </si>
  <si>
    <t>女17</t>
  </si>
  <si>
    <t>女18</t>
  </si>
  <si>
    <t>女19</t>
  </si>
  <si>
    <t>女20</t>
  </si>
  <si>
    <t>女21</t>
  </si>
  <si>
    <t>女22</t>
  </si>
  <si>
    <t>女23</t>
  </si>
  <si>
    <t>女24</t>
  </si>
  <si>
    <t>女25</t>
  </si>
  <si>
    <t>女26</t>
  </si>
  <si>
    <t>女27</t>
  </si>
  <si>
    <t>女28</t>
  </si>
  <si>
    <t>女29</t>
  </si>
  <si>
    <t>男2</t>
  </si>
  <si>
    <t>男3</t>
  </si>
  <si>
    <t>男4</t>
  </si>
  <si>
    <t>男5</t>
  </si>
  <si>
    <t>男6</t>
  </si>
  <si>
    <t>男7</t>
  </si>
  <si>
    <t>男8</t>
  </si>
  <si>
    <t>男9</t>
  </si>
  <si>
    <t>男10</t>
  </si>
  <si>
    <t>男11</t>
  </si>
  <si>
    <t>男12</t>
  </si>
  <si>
    <t>男13</t>
  </si>
  <si>
    <t>男14</t>
  </si>
  <si>
    <t>男15</t>
  </si>
  <si>
    <t>男16</t>
  </si>
  <si>
    <t>男17</t>
  </si>
  <si>
    <t>男18</t>
  </si>
  <si>
    <t>男19</t>
  </si>
  <si>
    <t>男20</t>
  </si>
  <si>
    <t>男21</t>
  </si>
  <si>
    <t>男22</t>
  </si>
  <si>
    <t>男23</t>
  </si>
  <si>
    <t>男24</t>
  </si>
  <si>
    <t>男25</t>
  </si>
  <si>
    <t>男26</t>
  </si>
  <si>
    <t>男27</t>
  </si>
  <si>
    <t>男28</t>
  </si>
  <si>
    <t>男29</t>
  </si>
  <si>
    <t>男30</t>
  </si>
  <si>
    <t>男31</t>
  </si>
  <si>
    <t>男32</t>
  </si>
  <si>
    <t>男33</t>
  </si>
  <si>
    <t>男34</t>
  </si>
  <si>
    <t>男35</t>
  </si>
  <si>
    <t>男36</t>
  </si>
  <si>
    <t>女生</t>
    <phoneticPr fontId="1" type="noConversion"/>
  </si>
  <si>
    <t>男生</t>
    <phoneticPr fontId="1" type="noConversion"/>
  </si>
  <si>
    <t>总计</t>
    <phoneticPr fontId="1" type="noConversion"/>
  </si>
  <si>
    <t>人数统计</t>
    <phoneticPr fontId="1" type="noConversion"/>
  </si>
  <si>
    <t>单桌统计</t>
    <phoneticPr fontId="1" type="noConversion"/>
  </si>
  <si>
    <t>桌数统计</t>
    <phoneticPr fontId="1" type="noConversion"/>
  </si>
  <si>
    <t>补位</t>
  </si>
  <si>
    <t>使用方法：
1.将学生名单分男女导入到“导入名单”工作表中。
2.点击“座位表”工作表中的“讲台”即可随机排序座位表。
3.打印的相关设置以及帮您调整合适，您无需再次调整页面设置，可以直接使用A4纸进行打印。
温馨提示：
1.请使用Microsoft Office 2007及以上版本的电子表格程序打开此表格。
2.推荐使用订阅版的Microsoft office 365运行此表格。
3.任意版本的金山WPS软件或者其他公司出品的办公软件无法运行此程序，请您谅解。
4.在使用前请打开宏，你可以每次打开此表格后在工具栏下的“安全警告”中点击“启用内容”来打开宏，或者一次性在“文件”=&gt;“选项”=&gt;“信任中心”=&gt;"信任中心设置"=&gt;“宏设置”中把宏设置为启用。
5.在第一次使用后您可以保存工作表以便下次快速使用。
说明：
1.本表按照五个组进行座位抽签，且初步调整了男女生的位置，也考虑了单桌情况。
2.本表只支持最多70人，不超过35桌的班级。
定制随机座位表程序请联系QQ：812610357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</si>
</sst>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32"/>
      <color theme="1"/>
      <name val="等线"/>
      <family val="2"/>
      <charset val="134"/>
      <scheme val="minor"/>
    </font>
    <font>
      <sz val="20"/>
      <color theme="1"/>
      <name val="等线"/>
      <family val="2"/>
      <charset val="134"/>
      <scheme val="minor"/>
    </font>
    <font>
      <sz val="32"/>
      <color theme="1"/>
      <name val="等线"/>
      <family val="3"/>
      <charset val="134"/>
      <scheme val="minor"/>
    </font>
    <font>
      <sz val="13"/>
      <color theme="1"/>
      <name val="等线"/>
      <family val="2"/>
      <charset val="134"/>
      <scheme val="minor"/>
    </font>
    <font>
      <sz val="18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[0]!宏2" textlink="">
      <xdr:nvSpPr>
        <xdr:cNvPr id="3" name="矩形 2">
          <a:extLst>
            <a:ext uri="{FF2B5EF4-FFF2-40B4-BE49-F238E27FC236}">
              <a16:creationId xmlns:a16="http://schemas.microsoft.com/office/drawing/2014/main" id="{F5CBE790-40AC-4C4F-AE17-891671F43FA8}"/>
            </a:ext>
          </a:extLst>
        </xdr:cNvPr>
        <xdr:cNvSpPr/>
      </xdr:nvSpPr>
      <xdr:spPr>
        <a:xfrm>
          <a:off x="4605867" y="6019800"/>
          <a:ext cx="1769533" cy="635000"/>
        </a:xfrm>
        <a:prstGeom prst="rect">
          <a:avLst/>
        </a:prstGeom>
        <a:solidFill>
          <a:sysClr val="window" lastClr="FFFFFF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3200">
              <a:solidFill>
                <a:sysClr val="windowText" lastClr="000000"/>
              </a:solidFill>
              <a:latin typeface="+mn-ea"/>
              <a:ea typeface="+mn-ea"/>
            </a:rPr>
            <a:t>讲台</a:t>
          </a:r>
        </a:p>
      </xdr:txBody>
    </xdr:sp>
    <xdr:clientData/>
  </xdr:twoCellAnchor>
  <xdr:twoCellAnchor>
    <xdr:from>
      <xdr:col>1</xdr:col>
      <xdr:colOff>1</xdr:colOff>
      <xdr:row>1</xdr:row>
      <xdr:rowOff>1</xdr:rowOff>
    </xdr:from>
    <xdr:to>
      <xdr:col>15</xdr:col>
      <xdr:colOff>0</xdr:colOff>
      <xdr:row>2</xdr:row>
      <xdr:rowOff>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4B2392DA-C274-4AC0-99DF-E3CBB5B41BF3}"/>
            </a:ext>
          </a:extLst>
        </xdr:cNvPr>
        <xdr:cNvSpPr/>
      </xdr:nvSpPr>
      <xdr:spPr>
        <a:xfrm>
          <a:off x="668868" y="177801"/>
          <a:ext cx="9643532" cy="635000"/>
        </a:xfrm>
        <a:prstGeom prst="rect">
          <a:avLst/>
        </a:prstGeom>
        <a:solidFill>
          <a:schemeClr val="bg1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______</a:t>
          </a:r>
          <a:r>
            <a:rPr lang="zh-CN" altLang="en-US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班座位表 </a:t>
          </a:r>
          <a:r>
            <a:rPr lang="en-US" altLang="zh-CN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___</a:t>
          </a:r>
          <a:r>
            <a:rPr lang="zh-CN" altLang="en-US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月</a:t>
          </a:r>
          <a:r>
            <a:rPr lang="en-US" altLang="zh-CN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___</a:t>
          </a:r>
          <a:r>
            <a:rPr lang="zh-CN" altLang="en-US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日起执行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36F40-2804-4542-ABE9-5F9CB0CC9199}">
  <sheetPr codeName="Sheet1"/>
  <dimension ref="A1:F62"/>
  <sheetViews>
    <sheetView workbookViewId="0">
      <selection activeCell="C1" sqref="C1:C1048576"/>
    </sheetView>
  </sheetViews>
  <sheetFormatPr defaultRowHeight="14.1" x14ac:dyDescent="0.5"/>
  <cols>
    <col min="2" max="3" width="8.796875" style="1"/>
  </cols>
  <sheetData>
    <row r="1" spans="1:6" x14ac:dyDescent="0.5">
      <c r="A1" s="1" t="s">
        <v>0</v>
      </c>
      <c r="B1" s="1" t="s">
        <v>68</v>
      </c>
      <c r="C1" s="1" t="s">
        <v>69</v>
      </c>
      <c r="E1" s="9" t="s">
        <v>71</v>
      </c>
      <c r="F1" s="9"/>
    </row>
    <row r="2" spans="1:6" x14ac:dyDescent="0.5">
      <c r="A2" s="1">
        <v>1</v>
      </c>
      <c r="B2" s="1" t="s">
        <v>4</v>
      </c>
      <c r="C2" s="1" t="s">
        <v>2</v>
      </c>
      <c r="E2" s="1" t="s">
        <v>68</v>
      </c>
      <c r="F2" s="1">
        <f>SUBTOTAL(103,B:B)-1</f>
        <v>29</v>
      </c>
    </row>
    <row r="3" spans="1:6" x14ac:dyDescent="0.5">
      <c r="A3" s="1">
        <v>2</v>
      </c>
      <c r="B3" s="1" t="s">
        <v>5</v>
      </c>
      <c r="C3" s="1" t="s">
        <v>33</v>
      </c>
      <c r="E3" s="1" t="s">
        <v>69</v>
      </c>
      <c r="F3" s="1">
        <f>SUBTOTAL(103,C:C)-1</f>
        <v>36</v>
      </c>
    </row>
    <row r="4" spans="1:6" x14ac:dyDescent="0.5">
      <c r="A4" s="1">
        <v>3</v>
      </c>
      <c r="B4" s="1" t="s">
        <v>6</v>
      </c>
      <c r="C4" s="1" t="s">
        <v>34</v>
      </c>
      <c r="E4" s="1" t="s">
        <v>70</v>
      </c>
      <c r="F4" s="1">
        <f>F2+F3</f>
        <v>65</v>
      </c>
    </row>
    <row r="5" spans="1:6" x14ac:dyDescent="0.5">
      <c r="A5" s="1">
        <v>4</v>
      </c>
      <c r="B5" s="1" t="s">
        <v>7</v>
      </c>
      <c r="C5" s="1" t="s">
        <v>35</v>
      </c>
      <c r="E5" s="9" t="s">
        <v>72</v>
      </c>
      <c r="F5" s="9"/>
    </row>
    <row r="6" spans="1:6" x14ac:dyDescent="0.5">
      <c r="A6" s="1">
        <v>5</v>
      </c>
      <c r="B6" s="1" t="s">
        <v>8</v>
      </c>
      <c r="C6" s="1" t="s">
        <v>36</v>
      </c>
      <c r="E6" s="5" t="s">
        <v>68</v>
      </c>
      <c r="F6" s="1">
        <f>IF(F2/2=INT(F2/2),0,1)</f>
        <v>1</v>
      </c>
    </row>
    <row r="7" spans="1:6" x14ac:dyDescent="0.5">
      <c r="A7" s="1">
        <v>6</v>
      </c>
      <c r="B7" s="1" t="s">
        <v>9</v>
      </c>
      <c r="C7" s="1" t="s">
        <v>37</v>
      </c>
      <c r="E7" s="5" t="s">
        <v>69</v>
      </c>
      <c r="F7" s="1">
        <f>IF(F3/2=INT(F3/2),0,1)</f>
        <v>0</v>
      </c>
    </row>
    <row r="8" spans="1:6" x14ac:dyDescent="0.5">
      <c r="A8" s="1">
        <v>7</v>
      </c>
      <c r="B8" s="1" t="s">
        <v>10</v>
      </c>
      <c r="C8" s="1" t="s">
        <v>38</v>
      </c>
      <c r="E8" s="5" t="s">
        <v>70</v>
      </c>
      <c r="F8" s="1">
        <f>F6+F7</f>
        <v>1</v>
      </c>
    </row>
    <row r="9" spans="1:6" x14ac:dyDescent="0.5">
      <c r="A9" s="1">
        <v>8</v>
      </c>
      <c r="B9" s="1" t="s">
        <v>11</v>
      </c>
      <c r="C9" s="1" t="s">
        <v>39</v>
      </c>
      <c r="E9" s="9" t="s">
        <v>73</v>
      </c>
      <c r="F9" s="9"/>
    </row>
    <row r="10" spans="1:6" x14ac:dyDescent="0.5">
      <c r="A10" s="1">
        <v>9</v>
      </c>
      <c r="B10" s="1" t="s">
        <v>12</v>
      </c>
      <c r="C10" s="1" t="s">
        <v>40</v>
      </c>
      <c r="E10" s="5" t="s">
        <v>68</v>
      </c>
      <c r="F10" s="1">
        <f>F2/2+0.5*F6</f>
        <v>15</v>
      </c>
    </row>
    <row r="11" spans="1:6" x14ac:dyDescent="0.5">
      <c r="A11" s="1">
        <v>10</v>
      </c>
      <c r="B11" s="1" t="s">
        <v>13</v>
      </c>
      <c r="C11" s="1" t="s">
        <v>41</v>
      </c>
      <c r="E11" s="5" t="s">
        <v>69</v>
      </c>
      <c r="F11" s="1">
        <f>F3/2+0.5*F7</f>
        <v>18</v>
      </c>
    </row>
    <row r="12" spans="1:6" x14ac:dyDescent="0.5">
      <c r="A12" s="1">
        <v>11</v>
      </c>
      <c r="B12" s="1" t="s">
        <v>14</v>
      </c>
      <c r="C12" s="1" t="s">
        <v>42</v>
      </c>
      <c r="E12" s="1" t="s">
        <v>70</v>
      </c>
      <c r="F12" s="1">
        <f>F10+F11</f>
        <v>33</v>
      </c>
    </row>
    <row r="13" spans="1:6" x14ac:dyDescent="0.5">
      <c r="A13" s="1">
        <v>12</v>
      </c>
      <c r="B13" s="1" t="s">
        <v>15</v>
      </c>
      <c r="C13" s="1" t="s">
        <v>43</v>
      </c>
    </row>
    <row r="14" spans="1:6" x14ac:dyDescent="0.5">
      <c r="A14" s="1">
        <v>13</v>
      </c>
      <c r="B14" s="1" t="s">
        <v>16</v>
      </c>
      <c r="C14" s="1" t="s">
        <v>44</v>
      </c>
    </row>
    <row r="15" spans="1:6" x14ac:dyDescent="0.5">
      <c r="A15" s="1">
        <v>14</v>
      </c>
      <c r="B15" s="1" t="s">
        <v>17</v>
      </c>
      <c r="C15" s="1" t="s">
        <v>45</v>
      </c>
    </row>
    <row r="16" spans="1:6" x14ac:dyDescent="0.5">
      <c r="A16" s="1">
        <v>15</v>
      </c>
      <c r="B16" s="1" t="s">
        <v>18</v>
      </c>
      <c r="C16" s="1" t="s">
        <v>46</v>
      </c>
    </row>
    <row r="17" spans="1:3" x14ac:dyDescent="0.5">
      <c r="A17" s="1">
        <v>16</v>
      </c>
      <c r="B17" s="1" t="s">
        <v>19</v>
      </c>
      <c r="C17" s="1" t="s">
        <v>47</v>
      </c>
    </row>
    <row r="18" spans="1:3" x14ac:dyDescent="0.5">
      <c r="A18" s="1">
        <v>17</v>
      </c>
      <c r="B18" s="1" t="s">
        <v>20</v>
      </c>
      <c r="C18" s="1" t="s">
        <v>48</v>
      </c>
    </row>
    <row r="19" spans="1:3" x14ac:dyDescent="0.5">
      <c r="A19" s="1">
        <v>18</v>
      </c>
      <c r="B19" s="1" t="s">
        <v>21</v>
      </c>
      <c r="C19" s="1" t="s">
        <v>49</v>
      </c>
    </row>
    <row r="20" spans="1:3" x14ac:dyDescent="0.5">
      <c r="A20" s="1">
        <v>19</v>
      </c>
      <c r="B20" s="1" t="s">
        <v>22</v>
      </c>
      <c r="C20" s="1" t="s">
        <v>50</v>
      </c>
    </row>
    <row r="21" spans="1:3" x14ac:dyDescent="0.5">
      <c r="A21" s="1">
        <v>20</v>
      </c>
      <c r="B21" s="1" t="s">
        <v>23</v>
      </c>
      <c r="C21" s="1" t="s">
        <v>51</v>
      </c>
    </row>
    <row r="22" spans="1:3" x14ac:dyDescent="0.5">
      <c r="A22" s="1">
        <v>21</v>
      </c>
      <c r="B22" s="1" t="s">
        <v>24</v>
      </c>
      <c r="C22" s="1" t="s">
        <v>52</v>
      </c>
    </row>
    <row r="23" spans="1:3" x14ac:dyDescent="0.5">
      <c r="A23" s="1">
        <v>22</v>
      </c>
      <c r="B23" s="1" t="s">
        <v>25</v>
      </c>
      <c r="C23" s="1" t="s">
        <v>53</v>
      </c>
    </row>
    <row r="24" spans="1:3" x14ac:dyDescent="0.5">
      <c r="A24" s="1">
        <v>23</v>
      </c>
      <c r="B24" s="1" t="s">
        <v>26</v>
      </c>
      <c r="C24" s="1" t="s">
        <v>54</v>
      </c>
    </row>
    <row r="25" spans="1:3" x14ac:dyDescent="0.5">
      <c r="A25" s="1">
        <v>24</v>
      </c>
      <c r="B25" s="1" t="s">
        <v>27</v>
      </c>
      <c r="C25" s="1" t="s">
        <v>55</v>
      </c>
    </row>
    <row r="26" spans="1:3" x14ac:dyDescent="0.5">
      <c r="A26" s="1">
        <v>25</v>
      </c>
      <c r="B26" s="1" t="s">
        <v>28</v>
      </c>
      <c r="C26" s="1" t="s">
        <v>56</v>
      </c>
    </row>
    <row r="27" spans="1:3" x14ac:dyDescent="0.5">
      <c r="A27" s="1">
        <v>26</v>
      </c>
      <c r="B27" s="1" t="s">
        <v>29</v>
      </c>
      <c r="C27" s="1" t="s">
        <v>57</v>
      </c>
    </row>
    <row r="28" spans="1:3" x14ac:dyDescent="0.5">
      <c r="A28" s="1">
        <v>27</v>
      </c>
      <c r="B28" s="1" t="s">
        <v>30</v>
      </c>
      <c r="C28" s="1" t="s">
        <v>58</v>
      </c>
    </row>
    <row r="29" spans="1:3" x14ac:dyDescent="0.5">
      <c r="A29" s="1">
        <v>28</v>
      </c>
      <c r="B29" s="1" t="s">
        <v>31</v>
      </c>
      <c r="C29" s="1" t="s">
        <v>59</v>
      </c>
    </row>
    <row r="30" spans="1:3" x14ac:dyDescent="0.5">
      <c r="A30" s="1">
        <v>29</v>
      </c>
      <c r="B30" s="1" t="s">
        <v>32</v>
      </c>
      <c r="C30" s="1" t="s">
        <v>60</v>
      </c>
    </row>
    <row r="31" spans="1:3" x14ac:dyDescent="0.5">
      <c r="A31" s="1">
        <v>30</v>
      </c>
      <c r="C31" s="1" t="s">
        <v>61</v>
      </c>
    </row>
    <row r="32" spans="1:3" x14ac:dyDescent="0.5">
      <c r="A32" s="1">
        <v>31</v>
      </c>
      <c r="C32" s="1" t="s">
        <v>62</v>
      </c>
    </row>
    <row r="33" spans="1:3" x14ac:dyDescent="0.5">
      <c r="A33" s="1">
        <v>32</v>
      </c>
      <c r="C33" s="1" t="s">
        <v>63</v>
      </c>
    </row>
    <row r="34" spans="1:3" x14ac:dyDescent="0.5">
      <c r="A34" s="1">
        <v>33</v>
      </c>
      <c r="C34" s="1" t="s">
        <v>64</v>
      </c>
    </row>
    <row r="35" spans="1:3" x14ac:dyDescent="0.5">
      <c r="A35" s="1">
        <v>34</v>
      </c>
      <c r="C35" s="1" t="s">
        <v>65</v>
      </c>
    </row>
    <row r="36" spans="1:3" x14ac:dyDescent="0.5">
      <c r="A36" s="1">
        <v>35</v>
      </c>
      <c r="C36" s="1" t="s">
        <v>66</v>
      </c>
    </row>
    <row r="37" spans="1:3" x14ac:dyDescent="0.5">
      <c r="A37" s="1">
        <v>36</v>
      </c>
      <c r="C37" s="1" t="s">
        <v>67</v>
      </c>
    </row>
    <row r="38" spans="1:3" x14ac:dyDescent="0.5">
      <c r="A38" s="1">
        <v>37</v>
      </c>
    </row>
    <row r="39" spans="1:3" x14ac:dyDescent="0.5">
      <c r="A39" s="1">
        <v>38</v>
      </c>
    </row>
    <row r="40" spans="1:3" x14ac:dyDescent="0.5">
      <c r="A40" s="1">
        <v>39</v>
      </c>
    </row>
    <row r="41" spans="1:3" x14ac:dyDescent="0.5">
      <c r="A41" s="1">
        <v>40</v>
      </c>
    </row>
    <row r="42" spans="1:3" x14ac:dyDescent="0.5">
      <c r="A42" s="1">
        <v>41</v>
      </c>
    </row>
    <row r="43" spans="1:3" x14ac:dyDescent="0.5">
      <c r="A43" s="1">
        <v>42</v>
      </c>
    </row>
    <row r="44" spans="1:3" x14ac:dyDescent="0.5">
      <c r="A44" s="1">
        <v>43</v>
      </c>
    </row>
    <row r="45" spans="1:3" x14ac:dyDescent="0.5">
      <c r="A45" s="1">
        <v>44</v>
      </c>
    </row>
    <row r="46" spans="1:3" x14ac:dyDescent="0.5">
      <c r="A46" s="1">
        <v>45</v>
      </c>
    </row>
    <row r="47" spans="1:3" x14ac:dyDescent="0.5">
      <c r="A47" s="1">
        <v>46</v>
      </c>
    </row>
    <row r="48" spans="1:3" x14ac:dyDescent="0.5">
      <c r="A48" s="1">
        <v>47</v>
      </c>
    </row>
    <row r="49" spans="1:1" x14ac:dyDescent="0.5">
      <c r="A49" s="1">
        <v>48</v>
      </c>
    </row>
    <row r="50" spans="1:1" x14ac:dyDescent="0.5">
      <c r="A50" s="1">
        <v>49</v>
      </c>
    </row>
    <row r="51" spans="1:1" x14ac:dyDescent="0.5">
      <c r="A51" s="1">
        <v>50</v>
      </c>
    </row>
    <row r="52" spans="1:1" x14ac:dyDescent="0.5">
      <c r="A52" s="1">
        <v>51</v>
      </c>
    </row>
    <row r="53" spans="1:1" x14ac:dyDescent="0.5">
      <c r="A53" s="1">
        <v>52</v>
      </c>
    </row>
    <row r="54" spans="1:1" x14ac:dyDescent="0.5">
      <c r="A54" s="1">
        <v>53</v>
      </c>
    </row>
    <row r="55" spans="1:1" x14ac:dyDescent="0.5">
      <c r="A55" s="1">
        <v>54</v>
      </c>
    </row>
    <row r="56" spans="1:1" x14ac:dyDescent="0.5">
      <c r="A56" s="1">
        <v>55</v>
      </c>
    </row>
    <row r="57" spans="1:1" x14ac:dyDescent="0.5">
      <c r="A57" s="1">
        <v>56</v>
      </c>
    </row>
    <row r="58" spans="1:1" x14ac:dyDescent="0.5">
      <c r="A58" s="1">
        <v>57</v>
      </c>
    </row>
    <row r="59" spans="1:1" x14ac:dyDescent="0.5">
      <c r="A59" s="1">
        <v>58</v>
      </c>
    </row>
    <row r="60" spans="1:1" x14ac:dyDescent="0.5">
      <c r="A60" s="1">
        <v>59</v>
      </c>
    </row>
    <row r="61" spans="1:1" x14ac:dyDescent="0.5">
      <c r="A61" s="1"/>
    </row>
    <row r="62" spans="1:1" x14ac:dyDescent="0.5">
      <c r="A62" s="1"/>
    </row>
  </sheetData>
  <mergeCells count="3">
    <mergeCell ref="E1:F1"/>
    <mergeCell ref="E5:F5"/>
    <mergeCell ref="E9:F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7F8F9-D377-46A8-B248-723A11604D30}">
  <sheetPr codeName="Sheet2"/>
  <dimension ref="A1:BR33"/>
  <sheetViews>
    <sheetView workbookViewId="0">
      <selection activeCell="A2" sqref="A2:A31"/>
    </sheetView>
  </sheetViews>
  <sheetFormatPr defaultRowHeight="14.1" x14ac:dyDescent="0.5"/>
  <cols>
    <col min="1" max="1" width="8.796875" style="6"/>
  </cols>
  <sheetData>
    <row r="1" spans="1:70" x14ac:dyDescent="0.5">
      <c r="A1" s="6" t="s">
        <v>68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x14ac:dyDescent="0.5">
      <c r="A2" s="6" t="s">
        <v>19</v>
      </c>
      <c r="B2">
        <f t="shared" ref="B2:B31" ca="1" si="0">RAND()</f>
        <v>0.97323813821440008</v>
      </c>
      <c r="C2" s="1"/>
    </row>
    <row r="3" spans="1:70" x14ac:dyDescent="0.5">
      <c r="A3" s="6" t="s">
        <v>26</v>
      </c>
      <c r="B3">
        <f t="shared" ca="1" si="0"/>
        <v>0.1214193434736518</v>
      </c>
      <c r="C3" s="1"/>
    </row>
    <row r="4" spans="1:70" x14ac:dyDescent="0.5">
      <c r="A4" s="6" t="s">
        <v>28</v>
      </c>
      <c r="B4">
        <f t="shared" ca="1" si="0"/>
        <v>0.30098707381326595</v>
      </c>
      <c r="C4" s="1"/>
    </row>
    <row r="5" spans="1:70" x14ac:dyDescent="0.5">
      <c r="A5" s="6" t="s">
        <v>4</v>
      </c>
      <c r="B5">
        <f t="shared" ca="1" si="0"/>
        <v>0.67117888666885428</v>
      </c>
      <c r="C5" s="1"/>
    </row>
    <row r="6" spans="1:70" x14ac:dyDescent="0.5">
      <c r="A6" s="6" t="s">
        <v>74</v>
      </c>
      <c r="B6">
        <f t="shared" ca="1" si="0"/>
        <v>0.5414409345983795</v>
      </c>
      <c r="C6" s="1"/>
    </row>
    <row r="7" spans="1:70" x14ac:dyDescent="0.5">
      <c r="A7" s="6" t="s">
        <v>18</v>
      </c>
      <c r="B7">
        <f t="shared" ca="1" si="0"/>
        <v>0.83319986368194043</v>
      </c>
      <c r="C7" s="1"/>
    </row>
    <row r="8" spans="1:70" x14ac:dyDescent="0.5">
      <c r="A8" s="6" t="s">
        <v>14</v>
      </c>
      <c r="B8">
        <f t="shared" ca="1" si="0"/>
        <v>0.3390032558357351</v>
      </c>
      <c r="C8" s="1"/>
    </row>
    <row r="9" spans="1:70" x14ac:dyDescent="0.5">
      <c r="A9" s="6" t="s">
        <v>13</v>
      </c>
      <c r="B9">
        <f t="shared" ca="1" si="0"/>
        <v>0.61931736392146597</v>
      </c>
      <c r="C9" s="1"/>
    </row>
    <row r="10" spans="1:70" x14ac:dyDescent="0.5">
      <c r="A10" s="6" t="s">
        <v>30</v>
      </c>
      <c r="B10">
        <f t="shared" ca="1" si="0"/>
        <v>0.18092541725128286</v>
      </c>
      <c r="C10" s="1"/>
    </row>
    <row r="11" spans="1:70" x14ac:dyDescent="0.5">
      <c r="A11" s="6" t="s">
        <v>25</v>
      </c>
      <c r="B11">
        <f t="shared" ca="1" si="0"/>
        <v>0.23082296256684698</v>
      </c>
      <c r="C11" s="1"/>
    </row>
    <row r="12" spans="1:70" x14ac:dyDescent="0.5">
      <c r="A12" s="6" t="s">
        <v>12</v>
      </c>
      <c r="B12">
        <f t="shared" ca="1" si="0"/>
        <v>0.26922795697020108</v>
      </c>
      <c r="C12" s="1"/>
    </row>
    <row r="13" spans="1:70" x14ac:dyDescent="0.5">
      <c r="A13" s="6" t="s">
        <v>21</v>
      </c>
      <c r="B13">
        <f t="shared" ca="1" si="0"/>
        <v>9.3814796571601966E-2</v>
      </c>
      <c r="C13" s="1"/>
    </row>
    <row r="14" spans="1:70" x14ac:dyDescent="0.5">
      <c r="A14" s="6" t="s">
        <v>6</v>
      </c>
      <c r="B14">
        <f t="shared" ca="1" si="0"/>
        <v>0.54348102355788031</v>
      </c>
      <c r="C14" s="1"/>
    </row>
    <row r="15" spans="1:70" x14ac:dyDescent="0.5">
      <c r="A15" s="6" t="s">
        <v>9</v>
      </c>
      <c r="B15">
        <f t="shared" ca="1" si="0"/>
        <v>0.52771842849098716</v>
      </c>
      <c r="C15" s="1"/>
    </row>
    <row r="16" spans="1:70" x14ac:dyDescent="0.5">
      <c r="A16" s="6" t="s">
        <v>23</v>
      </c>
      <c r="B16">
        <f t="shared" ca="1" si="0"/>
        <v>0.69180523828668627</v>
      </c>
      <c r="C16" s="1"/>
    </row>
    <row r="17" spans="1:3" x14ac:dyDescent="0.5">
      <c r="A17" s="6" t="s">
        <v>31</v>
      </c>
      <c r="B17">
        <f t="shared" ca="1" si="0"/>
        <v>0.31879449733055465</v>
      </c>
      <c r="C17" s="1"/>
    </row>
    <row r="18" spans="1:3" x14ac:dyDescent="0.5">
      <c r="A18" s="6" t="s">
        <v>20</v>
      </c>
      <c r="B18">
        <f t="shared" ca="1" si="0"/>
        <v>0.95722304646898082</v>
      </c>
      <c r="C18" s="1"/>
    </row>
    <row r="19" spans="1:3" x14ac:dyDescent="0.5">
      <c r="A19" s="6" t="s">
        <v>27</v>
      </c>
      <c r="B19">
        <f t="shared" ca="1" si="0"/>
        <v>0.56858285993535451</v>
      </c>
      <c r="C19" s="1"/>
    </row>
    <row r="20" spans="1:3" x14ac:dyDescent="0.5">
      <c r="A20" s="6" t="s">
        <v>17</v>
      </c>
      <c r="B20">
        <f t="shared" ca="1" si="0"/>
        <v>0.92128086021360733</v>
      </c>
      <c r="C20" s="1"/>
    </row>
    <row r="21" spans="1:3" x14ac:dyDescent="0.5">
      <c r="A21" s="6" t="s">
        <v>7</v>
      </c>
      <c r="B21">
        <f t="shared" ca="1" si="0"/>
        <v>8.1895741088467089E-2</v>
      </c>
      <c r="C21" s="1"/>
    </row>
    <row r="22" spans="1:3" x14ac:dyDescent="0.5">
      <c r="A22" s="6" t="s">
        <v>32</v>
      </c>
      <c r="B22">
        <f t="shared" ca="1" si="0"/>
        <v>0.83080712059195327</v>
      </c>
      <c r="C22" s="1"/>
    </row>
    <row r="23" spans="1:3" x14ac:dyDescent="0.5">
      <c r="A23" s="6" t="s">
        <v>8</v>
      </c>
      <c r="B23">
        <f t="shared" ca="1" si="0"/>
        <v>0.17334253370569808</v>
      </c>
      <c r="C23" s="1"/>
    </row>
    <row r="24" spans="1:3" x14ac:dyDescent="0.5">
      <c r="A24" s="6" t="s">
        <v>5</v>
      </c>
      <c r="B24">
        <f t="shared" ca="1" si="0"/>
        <v>0.94887023729595588</v>
      </c>
      <c r="C24" s="1"/>
    </row>
    <row r="25" spans="1:3" x14ac:dyDescent="0.5">
      <c r="A25" s="6" t="s">
        <v>29</v>
      </c>
      <c r="B25">
        <f t="shared" ca="1" si="0"/>
        <v>5.3209805101843699E-3</v>
      </c>
      <c r="C25" s="1"/>
    </row>
    <row r="26" spans="1:3" x14ac:dyDescent="0.5">
      <c r="A26" s="6" t="s">
        <v>11</v>
      </c>
      <c r="B26">
        <f t="shared" ca="1" si="0"/>
        <v>0.72527412424418591</v>
      </c>
      <c r="C26" s="1"/>
    </row>
    <row r="27" spans="1:3" x14ac:dyDescent="0.5">
      <c r="A27" s="6" t="s">
        <v>22</v>
      </c>
      <c r="B27">
        <f t="shared" ca="1" si="0"/>
        <v>0.81002306044723715</v>
      </c>
      <c r="C27" s="1"/>
    </row>
    <row r="28" spans="1:3" x14ac:dyDescent="0.5">
      <c r="A28" s="6" t="s">
        <v>15</v>
      </c>
      <c r="B28">
        <f t="shared" ca="1" si="0"/>
        <v>0.33935359116928565</v>
      </c>
      <c r="C28" s="1"/>
    </row>
    <row r="29" spans="1:3" x14ac:dyDescent="0.5">
      <c r="A29" s="6" t="s">
        <v>24</v>
      </c>
      <c r="B29">
        <f t="shared" ca="1" si="0"/>
        <v>0.47056232778948992</v>
      </c>
      <c r="C29" s="1"/>
    </row>
    <row r="30" spans="1:3" x14ac:dyDescent="0.5">
      <c r="A30" s="6" t="s">
        <v>10</v>
      </c>
      <c r="B30">
        <f t="shared" ca="1" si="0"/>
        <v>0.54356323014818808</v>
      </c>
      <c r="C30" s="1"/>
    </row>
    <row r="31" spans="1:3" x14ac:dyDescent="0.5">
      <c r="A31" s="6" t="s">
        <v>16</v>
      </c>
      <c r="B31">
        <f t="shared" ca="1" si="0"/>
        <v>0.24893211932621151</v>
      </c>
      <c r="C31" s="1"/>
    </row>
    <row r="32" spans="1:3" x14ac:dyDescent="0.5">
      <c r="C32" s="1"/>
    </row>
    <row r="33" spans="3:3" x14ac:dyDescent="0.5">
      <c r="C33" s="1"/>
    </row>
  </sheetData>
  <autoFilter ref="A1:B31" xr:uid="{4B1C3283-B6BA-4DE5-A808-C8311049B6FF}">
    <sortState xmlns:xlrd2="http://schemas.microsoft.com/office/spreadsheetml/2017/richdata2" ref="A2:B31">
      <sortCondition ref="B1"/>
    </sortState>
  </autoFilter>
  <phoneticPr fontId="1" type="noConversion"/>
  <pageMargins left="0.7" right="0.7" top="0.75" bottom="0.75" header="0.3" footer="0.3"/>
  <pageSetup paperSize="9" orientation="portrait" horizontalDpi="200" verticalDpi="20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CC07D-CB25-4A8E-89B7-D123D2E6A6C9}">
  <sheetPr codeName="Sheet4"/>
  <dimension ref="A1:BR37"/>
  <sheetViews>
    <sheetView workbookViewId="0">
      <selection activeCell="A2" sqref="A2:A37"/>
    </sheetView>
  </sheetViews>
  <sheetFormatPr defaultRowHeight="14.1" x14ac:dyDescent="0.5"/>
  <cols>
    <col min="1" max="1" width="8.796875" style="6"/>
  </cols>
  <sheetData>
    <row r="1" spans="1:70" x14ac:dyDescent="0.5">
      <c r="A1" s="6" t="s">
        <v>69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x14ac:dyDescent="0.5">
      <c r="A2" s="6" t="s">
        <v>52</v>
      </c>
      <c r="B2">
        <f t="shared" ref="B2:B37" ca="1" si="0">RAND()</f>
        <v>0.12556119108325892</v>
      </c>
    </row>
    <row r="3" spans="1:70" x14ac:dyDescent="0.5">
      <c r="A3" s="6" t="s">
        <v>54</v>
      </c>
      <c r="B3">
        <f t="shared" ca="1" si="0"/>
        <v>0.4915828343102886</v>
      </c>
    </row>
    <row r="4" spans="1:70" x14ac:dyDescent="0.5">
      <c r="A4" s="6" t="s">
        <v>63</v>
      </c>
      <c r="B4">
        <f t="shared" ca="1" si="0"/>
        <v>0.59543212620194175</v>
      </c>
    </row>
    <row r="5" spans="1:70" x14ac:dyDescent="0.5">
      <c r="A5" s="6" t="s">
        <v>35</v>
      </c>
      <c r="B5">
        <f t="shared" ca="1" si="0"/>
        <v>0.56180956604851207</v>
      </c>
    </row>
    <row r="6" spans="1:70" x14ac:dyDescent="0.5">
      <c r="A6" s="6" t="s">
        <v>64</v>
      </c>
      <c r="B6">
        <f t="shared" ca="1" si="0"/>
        <v>0.26659525751077173</v>
      </c>
    </row>
    <row r="7" spans="1:70" x14ac:dyDescent="0.5">
      <c r="A7" s="6" t="s">
        <v>55</v>
      </c>
      <c r="B7">
        <f t="shared" ca="1" si="0"/>
        <v>0.23421803232369043</v>
      </c>
    </row>
    <row r="8" spans="1:70" x14ac:dyDescent="0.5">
      <c r="A8" s="6" t="s">
        <v>33</v>
      </c>
      <c r="B8">
        <f t="shared" ca="1" si="0"/>
        <v>0.90737743342356447</v>
      </c>
    </row>
    <row r="9" spans="1:70" x14ac:dyDescent="0.5">
      <c r="A9" s="6" t="s">
        <v>2</v>
      </c>
      <c r="B9">
        <f t="shared" ca="1" si="0"/>
        <v>0.23434252239331343</v>
      </c>
    </row>
    <row r="10" spans="1:70" x14ac:dyDescent="0.5">
      <c r="A10" s="6" t="s">
        <v>67</v>
      </c>
      <c r="B10">
        <f t="shared" ca="1" si="0"/>
        <v>0.10141312978184092</v>
      </c>
    </row>
    <row r="11" spans="1:70" x14ac:dyDescent="0.5">
      <c r="A11" s="6" t="s">
        <v>37</v>
      </c>
      <c r="B11">
        <f t="shared" ca="1" si="0"/>
        <v>9.7803838337858773E-2</v>
      </c>
    </row>
    <row r="12" spans="1:70" x14ac:dyDescent="0.5">
      <c r="A12" s="6" t="s">
        <v>51</v>
      </c>
      <c r="B12">
        <f t="shared" ca="1" si="0"/>
        <v>0.52837357700656251</v>
      </c>
    </row>
    <row r="13" spans="1:70" x14ac:dyDescent="0.5">
      <c r="A13" s="6" t="s">
        <v>48</v>
      </c>
      <c r="B13">
        <f t="shared" ca="1" si="0"/>
        <v>0.27124210082546429</v>
      </c>
    </row>
    <row r="14" spans="1:70" x14ac:dyDescent="0.5">
      <c r="A14" s="6" t="s">
        <v>53</v>
      </c>
      <c r="B14">
        <f t="shared" ca="1" si="0"/>
        <v>0.57058491197018824</v>
      </c>
    </row>
    <row r="15" spans="1:70" x14ac:dyDescent="0.5">
      <c r="A15" s="6" t="s">
        <v>34</v>
      </c>
      <c r="B15">
        <f t="shared" ca="1" si="0"/>
        <v>0.61372995614831138</v>
      </c>
    </row>
    <row r="16" spans="1:70" x14ac:dyDescent="0.5">
      <c r="A16" s="6" t="s">
        <v>60</v>
      </c>
      <c r="B16">
        <f t="shared" ca="1" si="0"/>
        <v>0.76668509036640586</v>
      </c>
    </row>
    <row r="17" spans="1:2" x14ac:dyDescent="0.5">
      <c r="A17" s="6" t="s">
        <v>39</v>
      </c>
      <c r="B17">
        <f t="shared" ca="1" si="0"/>
        <v>0.67899019155944018</v>
      </c>
    </row>
    <row r="18" spans="1:2" x14ac:dyDescent="0.5">
      <c r="A18" s="6" t="s">
        <v>49</v>
      </c>
      <c r="B18">
        <f t="shared" ca="1" si="0"/>
        <v>0.83529314022682732</v>
      </c>
    </row>
    <row r="19" spans="1:2" x14ac:dyDescent="0.5">
      <c r="A19" s="6" t="s">
        <v>66</v>
      </c>
      <c r="B19">
        <f t="shared" ca="1" si="0"/>
        <v>0.44985452685369232</v>
      </c>
    </row>
    <row r="20" spans="1:2" x14ac:dyDescent="0.5">
      <c r="A20" s="6" t="s">
        <v>59</v>
      </c>
      <c r="B20">
        <f t="shared" ca="1" si="0"/>
        <v>0.43399002839437917</v>
      </c>
    </row>
    <row r="21" spans="1:2" x14ac:dyDescent="0.5">
      <c r="A21" s="6" t="s">
        <v>43</v>
      </c>
      <c r="B21">
        <f t="shared" ca="1" si="0"/>
        <v>2.9872200872688492E-2</v>
      </c>
    </row>
    <row r="22" spans="1:2" x14ac:dyDescent="0.5">
      <c r="A22" s="6" t="s">
        <v>61</v>
      </c>
      <c r="B22">
        <f t="shared" ca="1" si="0"/>
        <v>0.8269727002119921</v>
      </c>
    </row>
    <row r="23" spans="1:2" x14ac:dyDescent="0.5">
      <c r="A23" s="6" t="s">
        <v>58</v>
      </c>
      <c r="B23">
        <f t="shared" ca="1" si="0"/>
        <v>4.0627033561810855E-2</v>
      </c>
    </row>
    <row r="24" spans="1:2" x14ac:dyDescent="0.5">
      <c r="A24" s="6" t="s">
        <v>38</v>
      </c>
      <c r="B24">
        <f t="shared" ca="1" si="0"/>
        <v>3.3103102513494465E-2</v>
      </c>
    </row>
    <row r="25" spans="1:2" x14ac:dyDescent="0.5">
      <c r="A25" s="6" t="s">
        <v>42</v>
      </c>
      <c r="B25">
        <f t="shared" ca="1" si="0"/>
        <v>0.790683603807108</v>
      </c>
    </row>
    <row r="26" spans="1:2" x14ac:dyDescent="0.5">
      <c r="A26" s="6" t="s">
        <v>40</v>
      </c>
      <c r="B26">
        <f t="shared" ca="1" si="0"/>
        <v>0.5077106251883996</v>
      </c>
    </row>
    <row r="27" spans="1:2" x14ac:dyDescent="0.5">
      <c r="A27" s="6" t="s">
        <v>56</v>
      </c>
      <c r="B27">
        <f t="shared" ca="1" si="0"/>
        <v>0.1326156681404157</v>
      </c>
    </row>
    <row r="28" spans="1:2" x14ac:dyDescent="0.5">
      <c r="A28" s="6" t="s">
        <v>47</v>
      </c>
      <c r="B28">
        <f t="shared" ca="1" si="0"/>
        <v>0.55763506808660179</v>
      </c>
    </row>
    <row r="29" spans="1:2" x14ac:dyDescent="0.5">
      <c r="A29" s="6" t="s">
        <v>36</v>
      </c>
      <c r="B29">
        <f t="shared" ca="1" si="0"/>
        <v>0.28133408981273167</v>
      </c>
    </row>
    <row r="30" spans="1:2" x14ac:dyDescent="0.5">
      <c r="A30" s="6" t="s">
        <v>45</v>
      </c>
      <c r="B30">
        <f t="shared" ca="1" si="0"/>
        <v>0.19098912246113819</v>
      </c>
    </row>
    <row r="31" spans="1:2" x14ac:dyDescent="0.5">
      <c r="A31" s="6" t="s">
        <v>65</v>
      </c>
      <c r="B31">
        <f t="shared" ca="1" si="0"/>
        <v>0.12560231636601271</v>
      </c>
    </row>
    <row r="32" spans="1:2" x14ac:dyDescent="0.5">
      <c r="A32" s="6" t="s">
        <v>41</v>
      </c>
      <c r="B32">
        <f t="shared" ca="1" si="0"/>
        <v>0.12774045463768569</v>
      </c>
    </row>
    <row r="33" spans="1:2" x14ac:dyDescent="0.5">
      <c r="A33" s="6" t="s">
        <v>62</v>
      </c>
      <c r="B33">
        <f t="shared" ca="1" si="0"/>
        <v>0.56059079996233019</v>
      </c>
    </row>
    <row r="34" spans="1:2" x14ac:dyDescent="0.5">
      <c r="A34" s="6" t="s">
        <v>44</v>
      </c>
      <c r="B34">
        <f t="shared" ca="1" si="0"/>
        <v>0.23091391671580952</v>
      </c>
    </row>
    <row r="35" spans="1:2" x14ac:dyDescent="0.5">
      <c r="A35" s="6" t="s">
        <v>50</v>
      </c>
      <c r="B35">
        <f t="shared" ca="1" si="0"/>
        <v>0.98048973180029475</v>
      </c>
    </row>
    <row r="36" spans="1:2" x14ac:dyDescent="0.5">
      <c r="A36" s="6" t="s">
        <v>46</v>
      </c>
      <c r="B36">
        <f t="shared" ca="1" si="0"/>
        <v>0.70125513219248925</v>
      </c>
    </row>
    <row r="37" spans="1:2" x14ac:dyDescent="0.5">
      <c r="A37" s="6" t="s">
        <v>57</v>
      </c>
      <c r="B37">
        <f t="shared" ca="1" si="0"/>
        <v>0.55808189675484299</v>
      </c>
    </row>
  </sheetData>
  <autoFilter ref="A1:B37" xr:uid="{E9F43D73-2FFE-4BDE-AC01-F698E3505AA2}">
    <sortState xmlns:xlrd2="http://schemas.microsoft.com/office/spreadsheetml/2017/richdata2" ref="A2:B37">
      <sortCondition ref="B1"/>
    </sortState>
  </autoFilter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D3B2D-7847-4130-B05E-8E6710D02E5A}">
  <sheetPr codeName="Sheet9"/>
  <dimension ref="A1:BR10"/>
  <sheetViews>
    <sheetView workbookViewId="0">
      <selection activeCell="B4" sqref="B4:K10"/>
    </sheetView>
  </sheetViews>
  <sheetFormatPr defaultRowHeight="14.1" x14ac:dyDescent="0.5"/>
  <sheetData>
    <row r="1" spans="1:70" x14ac:dyDescent="0.5">
      <c r="A1" s="6" t="s">
        <v>19</v>
      </c>
      <c r="B1" s="6" t="s">
        <v>26</v>
      </c>
      <c r="C1" s="6" t="s">
        <v>28</v>
      </c>
      <c r="D1" s="6" t="s">
        <v>4</v>
      </c>
      <c r="E1" s="6" t="s">
        <v>74</v>
      </c>
      <c r="F1" s="6" t="s">
        <v>18</v>
      </c>
      <c r="G1" s="6" t="s">
        <v>14</v>
      </c>
      <c r="H1" s="6" t="s">
        <v>13</v>
      </c>
      <c r="I1" s="6" t="s">
        <v>30</v>
      </c>
      <c r="J1" s="6" t="s">
        <v>25</v>
      </c>
      <c r="K1" s="6" t="s">
        <v>12</v>
      </c>
      <c r="L1" s="6" t="s">
        <v>21</v>
      </c>
      <c r="M1" s="6" t="s">
        <v>6</v>
      </c>
      <c r="N1" s="6" t="s">
        <v>9</v>
      </c>
      <c r="O1" s="6" t="s">
        <v>23</v>
      </c>
      <c r="P1" s="6" t="s">
        <v>31</v>
      </c>
      <c r="Q1" s="6" t="s">
        <v>20</v>
      </c>
      <c r="R1" s="6" t="s">
        <v>27</v>
      </c>
      <c r="S1" s="6" t="s">
        <v>17</v>
      </c>
      <c r="T1" s="6" t="s">
        <v>7</v>
      </c>
      <c r="U1" s="6" t="s">
        <v>32</v>
      </c>
      <c r="V1" s="6" t="s">
        <v>8</v>
      </c>
      <c r="W1" s="6" t="s">
        <v>5</v>
      </c>
      <c r="X1" s="6" t="s">
        <v>29</v>
      </c>
      <c r="Y1" s="6" t="s">
        <v>11</v>
      </c>
      <c r="Z1" s="6" t="s">
        <v>22</v>
      </c>
      <c r="AA1" s="6" t="s">
        <v>15</v>
      </c>
      <c r="AB1" s="6" t="s">
        <v>24</v>
      </c>
      <c r="AC1" s="6" t="s">
        <v>10</v>
      </c>
      <c r="AD1" s="6" t="s">
        <v>16</v>
      </c>
      <c r="AE1" s="6" t="s">
        <v>52</v>
      </c>
      <c r="AF1" s="6" t="s">
        <v>54</v>
      </c>
      <c r="AG1" s="6" t="s">
        <v>63</v>
      </c>
      <c r="AH1" s="6" t="s">
        <v>35</v>
      </c>
      <c r="AI1" s="6" t="s">
        <v>64</v>
      </c>
      <c r="AJ1" s="6" t="s">
        <v>55</v>
      </c>
      <c r="AK1" s="6" t="s">
        <v>33</v>
      </c>
      <c r="AL1" s="6" t="s">
        <v>2</v>
      </c>
      <c r="AM1" s="6" t="s">
        <v>67</v>
      </c>
      <c r="AN1" s="6" t="s">
        <v>37</v>
      </c>
      <c r="AO1" s="6" t="s">
        <v>51</v>
      </c>
      <c r="AP1" s="6" t="s">
        <v>48</v>
      </c>
      <c r="AQ1" s="6" t="s">
        <v>53</v>
      </c>
      <c r="AR1" s="6" t="s">
        <v>34</v>
      </c>
      <c r="AS1" s="6" t="s">
        <v>60</v>
      </c>
      <c r="AT1" s="6" t="s">
        <v>39</v>
      </c>
      <c r="AU1" s="6" t="s">
        <v>49</v>
      </c>
      <c r="AV1" s="6" t="s">
        <v>66</v>
      </c>
      <c r="AW1" s="6" t="s">
        <v>59</v>
      </c>
      <c r="AX1" s="6" t="s">
        <v>43</v>
      </c>
      <c r="AY1" s="6" t="s">
        <v>61</v>
      </c>
      <c r="AZ1" s="6" t="s">
        <v>58</v>
      </c>
      <c r="BA1" s="6" t="s">
        <v>38</v>
      </c>
      <c r="BB1" s="6" t="s">
        <v>42</v>
      </c>
      <c r="BC1" s="6" t="s">
        <v>40</v>
      </c>
      <c r="BD1" s="6" t="s">
        <v>56</v>
      </c>
      <c r="BE1" s="6" t="s">
        <v>47</v>
      </c>
      <c r="BF1" s="6" t="s">
        <v>36</v>
      </c>
      <c r="BG1" s="6" t="s">
        <v>45</v>
      </c>
      <c r="BH1" s="6" t="s">
        <v>65</v>
      </c>
      <c r="BI1" s="6" t="s">
        <v>41</v>
      </c>
      <c r="BJ1" s="6" t="s">
        <v>62</v>
      </c>
      <c r="BK1" s="6" t="s">
        <v>44</v>
      </c>
      <c r="BL1" s="6" t="s">
        <v>50</v>
      </c>
      <c r="BM1" s="6" t="s">
        <v>46</v>
      </c>
      <c r="BN1" s="6" t="s">
        <v>57</v>
      </c>
      <c r="BO1" s="1"/>
      <c r="BP1" s="1"/>
      <c r="BQ1" s="1"/>
      <c r="BR1" s="1"/>
    </row>
    <row r="4" spans="1:70" x14ac:dyDescent="0.5">
      <c r="B4" t="str">
        <f>BI1</f>
        <v>男10</v>
      </c>
      <c r="C4" t="str">
        <f t="shared" ref="C4:K4" si="0">BJ1</f>
        <v>男31</v>
      </c>
      <c r="D4" t="str">
        <f t="shared" si="0"/>
        <v>男13</v>
      </c>
      <c r="E4" t="str">
        <f t="shared" si="0"/>
        <v>男19</v>
      </c>
      <c r="F4" t="str">
        <f t="shared" si="0"/>
        <v>男15</v>
      </c>
      <c r="G4" t="str">
        <f t="shared" si="0"/>
        <v>男26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</row>
    <row r="5" spans="1:70" x14ac:dyDescent="0.5">
      <c r="B5" t="str">
        <f>AY1</f>
        <v>男30</v>
      </c>
      <c r="C5" t="str">
        <f t="shared" ref="C5:K5" si="1">AZ1</f>
        <v>男27</v>
      </c>
      <c r="D5" t="str">
        <f t="shared" si="1"/>
        <v>男7</v>
      </c>
      <c r="E5" t="str">
        <f t="shared" si="1"/>
        <v>男11</v>
      </c>
      <c r="F5" t="str">
        <f t="shared" si="1"/>
        <v>男9</v>
      </c>
      <c r="G5" t="str">
        <f t="shared" si="1"/>
        <v>男25</v>
      </c>
      <c r="H5" t="str">
        <f t="shared" si="1"/>
        <v>男16</v>
      </c>
      <c r="I5" t="str">
        <f t="shared" si="1"/>
        <v>男5</v>
      </c>
      <c r="J5" t="str">
        <f t="shared" si="1"/>
        <v>男14</v>
      </c>
      <c r="K5" t="str">
        <f t="shared" si="1"/>
        <v>男34</v>
      </c>
    </row>
    <row r="6" spans="1:70" x14ac:dyDescent="0.5">
      <c r="B6" t="str">
        <f>AO1</f>
        <v>男20</v>
      </c>
      <c r="C6" t="str">
        <f t="shared" ref="C6:K6" si="2">AP1</f>
        <v>男17</v>
      </c>
      <c r="D6" t="str">
        <f t="shared" si="2"/>
        <v>男22</v>
      </c>
      <c r="E6" t="str">
        <f t="shared" si="2"/>
        <v>男3</v>
      </c>
      <c r="F6" t="str">
        <f t="shared" si="2"/>
        <v>男29</v>
      </c>
      <c r="G6" t="str">
        <f t="shared" si="2"/>
        <v>男8</v>
      </c>
      <c r="H6" t="str">
        <f t="shared" si="2"/>
        <v>男18</v>
      </c>
      <c r="I6" t="str">
        <f t="shared" si="2"/>
        <v>男35</v>
      </c>
      <c r="J6" t="str">
        <f t="shared" si="2"/>
        <v>男28</v>
      </c>
      <c r="K6" t="str">
        <f t="shared" si="2"/>
        <v>男12</v>
      </c>
    </row>
    <row r="7" spans="1:70" x14ac:dyDescent="0.5">
      <c r="B7" t="str">
        <f>AE1</f>
        <v>男21</v>
      </c>
      <c r="C7" t="str">
        <f t="shared" ref="C7:K7" si="3">AF1</f>
        <v>男23</v>
      </c>
      <c r="D7" t="str">
        <f t="shared" si="3"/>
        <v>男32</v>
      </c>
      <c r="E7" t="str">
        <f t="shared" si="3"/>
        <v>男4</v>
      </c>
      <c r="F7" t="str">
        <f t="shared" si="3"/>
        <v>男33</v>
      </c>
      <c r="G7" t="str">
        <f t="shared" si="3"/>
        <v>男24</v>
      </c>
      <c r="H7" t="str">
        <f t="shared" si="3"/>
        <v>男2</v>
      </c>
      <c r="I7" t="str">
        <f t="shared" si="3"/>
        <v>男1</v>
      </c>
      <c r="J7" t="str">
        <f t="shared" si="3"/>
        <v>男36</v>
      </c>
      <c r="K7" t="str">
        <f t="shared" si="3"/>
        <v>男6</v>
      </c>
    </row>
    <row r="8" spans="1:70" x14ac:dyDescent="0.5">
      <c r="B8" t="str">
        <f>U1</f>
        <v>女29</v>
      </c>
      <c r="C8" t="str">
        <f t="shared" ref="C8:K8" si="4">V1</f>
        <v>女5</v>
      </c>
      <c r="D8" t="str">
        <f t="shared" si="4"/>
        <v>女2</v>
      </c>
      <c r="E8" t="str">
        <f t="shared" si="4"/>
        <v>女26</v>
      </c>
      <c r="F8" t="str">
        <f t="shared" si="4"/>
        <v>女8</v>
      </c>
      <c r="G8" t="str">
        <f t="shared" si="4"/>
        <v>女19</v>
      </c>
      <c r="H8" t="str">
        <f t="shared" si="4"/>
        <v>女12</v>
      </c>
      <c r="I8" t="str">
        <f t="shared" si="4"/>
        <v>女21</v>
      </c>
      <c r="J8" t="str">
        <f t="shared" si="4"/>
        <v>女7</v>
      </c>
      <c r="K8" t="str">
        <f t="shared" si="4"/>
        <v>女13</v>
      </c>
    </row>
    <row r="9" spans="1:70" x14ac:dyDescent="0.5">
      <c r="B9" t="str">
        <f>K1</f>
        <v>女9</v>
      </c>
      <c r="C9" t="str">
        <f t="shared" ref="C9:K9" si="5">L1</f>
        <v>女18</v>
      </c>
      <c r="D9" t="str">
        <f t="shared" si="5"/>
        <v>女3</v>
      </c>
      <c r="E9" t="str">
        <f t="shared" si="5"/>
        <v>女6</v>
      </c>
      <c r="F9" t="str">
        <f t="shared" si="5"/>
        <v>女20</v>
      </c>
      <c r="G9" t="str">
        <f t="shared" si="5"/>
        <v>女28</v>
      </c>
      <c r="H9" t="str">
        <f t="shared" si="5"/>
        <v>女17</v>
      </c>
      <c r="I9" t="str">
        <f t="shared" si="5"/>
        <v>女24</v>
      </c>
      <c r="J9" t="str">
        <f t="shared" si="5"/>
        <v>女14</v>
      </c>
      <c r="K9" t="str">
        <f t="shared" si="5"/>
        <v>女4</v>
      </c>
    </row>
    <row r="10" spans="1:70" x14ac:dyDescent="0.5">
      <c r="B10" t="str">
        <f>A1</f>
        <v>女16</v>
      </c>
      <c r="C10" t="str">
        <f t="shared" ref="C10:K10" si="6">B1</f>
        <v>女23</v>
      </c>
      <c r="D10" t="str">
        <f t="shared" si="6"/>
        <v>女25</v>
      </c>
      <c r="E10" t="str">
        <f t="shared" si="6"/>
        <v>女1</v>
      </c>
      <c r="F10" t="str">
        <f t="shared" si="6"/>
        <v>补位</v>
      </c>
      <c r="G10" t="str">
        <f t="shared" si="6"/>
        <v>女15</v>
      </c>
      <c r="H10" t="str">
        <f t="shared" si="6"/>
        <v>女11</v>
      </c>
      <c r="I10" t="str">
        <f t="shared" si="6"/>
        <v>女10</v>
      </c>
      <c r="J10" t="str">
        <f t="shared" si="6"/>
        <v>女27</v>
      </c>
      <c r="K10" t="str">
        <f t="shared" si="6"/>
        <v>女22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8D9F-5954-4675-8EFC-1BA8A9385B6F}">
  <sheetPr codeName="Sheet8"/>
  <dimension ref="A3:K16"/>
  <sheetViews>
    <sheetView workbookViewId="0">
      <selection activeCell="M1" activeCellId="3" sqref="D1:D1048576 G1:G1048576 J1:J1048576 M1:M1048576"/>
    </sheetView>
  </sheetViews>
  <sheetFormatPr defaultRowHeight="14.1" x14ac:dyDescent="0.5"/>
  <cols>
    <col min="1" max="1" width="8.796875" style="1"/>
  </cols>
  <sheetData>
    <row r="3" spans="1:11" x14ac:dyDescent="0.5">
      <c r="A3" s="1">
        <f>SUBTOTAL(103,B3:BG3)</f>
        <v>0</v>
      </c>
    </row>
    <row r="4" spans="1:11" x14ac:dyDescent="0.5">
      <c r="A4" s="6">
        <f>SUBTOTAL(103,D4:BG4)</f>
        <v>6</v>
      </c>
      <c r="D4" t="s">
        <v>28</v>
      </c>
      <c r="E4" t="s">
        <v>3</v>
      </c>
      <c r="F4" t="s">
        <v>46</v>
      </c>
      <c r="G4" t="s">
        <v>57</v>
      </c>
      <c r="H4" t="s">
        <v>14</v>
      </c>
      <c r="I4" t="s">
        <v>13</v>
      </c>
    </row>
    <row r="5" spans="1:11" x14ac:dyDescent="0.5">
      <c r="A5" s="6">
        <f t="shared" ref="A5:A10" si="0">SUBTOTAL(103,B5:BG5)</f>
        <v>10</v>
      </c>
      <c r="B5" t="s">
        <v>61</v>
      </c>
      <c r="C5" t="s">
        <v>58</v>
      </c>
      <c r="D5" t="s">
        <v>38</v>
      </c>
      <c r="E5" t="s">
        <v>42</v>
      </c>
      <c r="F5" t="s">
        <v>23</v>
      </c>
      <c r="G5" t="s">
        <v>31</v>
      </c>
      <c r="H5" t="s">
        <v>47</v>
      </c>
      <c r="I5" t="s">
        <v>36</v>
      </c>
      <c r="J5" t="s">
        <v>45</v>
      </c>
      <c r="K5" t="s">
        <v>65</v>
      </c>
    </row>
    <row r="6" spans="1:11" x14ac:dyDescent="0.5">
      <c r="A6" s="6">
        <f>SUBTOTAL(103,B6:BG6)</f>
        <v>10</v>
      </c>
      <c r="B6" t="s">
        <v>12</v>
      </c>
      <c r="C6" t="s">
        <v>21</v>
      </c>
      <c r="D6" t="s">
        <v>5</v>
      </c>
      <c r="E6" t="s">
        <v>29</v>
      </c>
      <c r="F6" t="s">
        <v>60</v>
      </c>
      <c r="G6" t="s">
        <v>39</v>
      </c>
      <c r="H6" t="s">
        <v>15</v>
      </c>
      <c r="I6" t="s">
        <v>24</v>
      </c>
      <c r="J6" t="s">
        <v>17</v>
      </c>
      <c r="K6" t="s">
        <v>7</v>
      </c>
    </row>
    <row r="7" spans="1:11" x14ac:dyDescent="0.5">
      <c r="A7" s="6">
        <f t="shared" si="0"/>
        <v>10</v>
      </c>
      <c r="B7" t="s">
        <v>52</v>
      </c>
      <c r="C7" t="s">
        <v>54</v>
      </c>
      <c r="D7" t="s">
        <v>63</v>
      </c>
      <c r="E7" t="s">
        <v>35</v>
      </c>
      <c r="F7" t="s">
        <v>64</v>
      </c>
      <c r="G7" t="s">
        <v>55</v>
      </c>
      <c r="H7" t="s">
        <v>33</v>
      </c>
      <c r="I7" t="s">
        <v>1</v>
      </c>
      <c r="J7" t="s">
        <v>67</v>
      </c>
      <c r="K7" t="s">
        <v>37</v>
      </c>
    </row>
    <row r="8" spans="1:11" x14ac:dyDescent="0.5">
      <c r="A8" s="6">
        <f t="shared" si="0"/>
        <v>10</v>
      </c>
      <c r="B8" t="s">
        <v>32</v>
      </c>
      <c r="C8" t="s">
        <v>8</v>
      </c>
      <c r="D8" t="s">
        <v>53</v>
      </c>
      <c r="E8" t="s">
        <v>34</v>
      </c>
      <c r="F8" t="s">
        <v>11</v>
      </c>
      <c r="G8" t="s">
        <v>22</v>
      </c>
      <c r="H8" t="s">
        <v>49</v>
      </c>
      <c r="I8" t="s">
        <v>66</v>
      </c>
      <c r="J8" t="s">
        <v>10</v>
      </c>
      <c r="K8" t="s">
        <v>16</v>
      </c>
    </row>
    <row r="9" spans="1:11" x14ac:dyDescent="0.5">
      <c r="A9" s="6">
        <f>SUBTOTAL(103,B9:BG9)</f>
        <v>10</v>
      </c>
      <c r="B9" t="s">
        <v>51</v>
      </c>
      <c r="C9" t="s">
        <v>48</v>
      </c>
      <c r="D9" t="s">
        <v>6</v>
      </c>
      <c r="E9" t="s">
        <v>9</v>
      </c>
      <c r="F9" t="s">
        <v>40</v>
      </c>
      <c r="G9" t="s">
        <v>56</v>
      </c>
      <c r="H9" t="s">
        <v>20</v>
      </c>
      <c r="I9" t="s">
        <v>27</v>
      </c>
      <c r="J9" t="s">
        <v>59</v>
      </c>
      <c r="K9" t="s">
        <v>43</v>
      </c>
    </row>
    <row r="10" spans="1:11" x14ac:dyDescent="0.5">
      <c r="A10" s="6">
        <f t="shared" si="0"/>
        <v>10</v>
      </c>
      <c r="B10" t="s">
        <v>19</v>
      </c>
      <c r="C10" t="s">
        <v>26</v>
      </c>
      <c r="D10" t="s">
        <v>44</v>
      </c>
      <c r="E10" t="s">
        <v>50</v>
      </c>
      <c r="F10" t="s">
        <v>74</v>
      </c>
      <c r="G10" t="s">
        <v>18</v>
      </c>
      <c r="H10" t="s">
        <v>41</v>
      </c>
      <c r="I10" t="s">
        <v>62</v>
      </c>
      <c r="J10" t="s">
        <v>30</v>
      </c>
      <c r="K10" t="s">
        <v>25</v>
      </c>
    </row>
    <row r="12" spans="1:11" x14ac:dyDescent="0.5">
      <c r="A12" s="1">
        <f>SUBTOTAL(103,B:B)</f>
        <v>6</v>
      </c>
    </row>
    <row r="13" spans="1:11" x14ac:dyDescent="0.5">
      <c r="A13" s="1">
        <f>SUBTOTAL(103,D:D)</f>
        <v>7</v>
      </c>
    </row>
    <row r="14" spans="1:11" x14ac:dyDescent="0.5">
      <c r="A14" s="1">
        <f>SUBTOTAL(103,F:F)</f>
        <v>7</v>
      </c>
    </row>
    <row r="15" spans="1:11" x14ac:dyDescent="0.5">
      <c r="A15" s="1">
        <f>SUBTOTAL(103,H:H)</f>
        <v>7</v>
      </c>
    </row>
    <row r="16" spans="1:11" x14ac:dyDescent="0.5">
      <c r="A16" s="1">
        <f>SUBTOTAL(103,J:J)</f>
        <v>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71CDE-D7CD-422D-96A7-8752834A42DB}">
  <sheetPr codeName="Sheet3"/>
  <dimension ref="B2:U18"/>
  <sheetViews>
    <sheetView tabSelected="1" zoomScale="90" zoomScaleNormal="90" workbookViewId="0"/>
  </sheetViews>
  <sheetFormatPr defaultRowHeight="14.1" x14ac:dyDescent="0.5"/>
  <cols>
    <col min="1" max="1" width="3.546875" customWidth="1"/>
    <col min="2" max="3" width="12.546875" customWidth="1"/>
    <col min="4" max="4" width="2.59765625" customWidth="1"/>
    <col min="5" max="6" width="12.546875" customWidth="1"/>
    <col min="7" max="7" width="2.59765625" customWidth="1"/>
    <col min="8" max="9" width="12.546875" customWidth="1"/>
    <col min="10" max="10" width="2.59765625" customWidth="1"/>
    <col min="11" max="12" width="12.546875" customWidth="1"/>
    <col min="13" max="13" width="2.59765625" customWidth="1"/>
    <col min="14" max="15" width="12.546875" customWidth="1"/>
    <col min="16" max="16" width="3.546875" customWidth="1"/>
  </cols>
  <sheetData>
    <row r="2" spans="2:21" ht="50.05" customHeight="1" x14ac:dyDescent="0.5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Q2" s="10" t="s">
        <v>75</v>
      </c>
      <c r="R2" s="10"/>
      <c r="S2" s="10"/>
      <c r="T2" s="10"/>
      <c r="U2" s="10"/>
    </row>
    <row r="3" spans="2:21" ht="30" customHeight="1" thickBot="1" x14ac:dyDescent="0.55000000000000004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Q3" s="10"/>
      <c r="R3" s="10"/>
      <c r="S3" s="10"/>
      <c r="T3" s="10"/>
      <c r="U3" s="10"/>
    </row>
    <row r="4" spans="2:21" ht="50.05" customHeight="1" x14ac:dyDescent="0.5">
      <c r="B4" s="13"/>
      <c r="C4" s="14"/>
      <c r="D4" s="8"/>
      <c r="E4" s="13" t="s">
        <v>28</v>
      </c>
      <c r="F4" s="14" t="s">
        <v>3</v>
      </c>
      <c r="G4" s="8"/>
      <c r="H4" s="13" t="s">
        <v>46</v>
      </c>
      <c r="I4" s="14" t="s">
        <v>57</v>
      </c>
      <c r="J4" s="8"/>
      <c r="K4" s="13" t="s">
        <v>14</v>
      </c>
      <c r="L4" s="14" t="s">
        <v>13</v>
      </c>
      <c r="M4" s="8"/>
      <c r="N4" s="13"/>
      <c r="O4" s="14"/>
      <c r="Q4" s="10"/>
      <c r="R4" s="10"/>
      <c r="S4" s="10"/>
      <c r="T4" s="10"/>
      <c r="U4" s="10"/>
    </row>
    <row r="5" spans="2:21" ht="50.05" customHeight="1" x14ac:dyDescent="0.5">
      <c r="B5" s="15" t="s">
        <v>61</v>
      </c>
      <c r="C5" s="16" t="s">
        <v>58</v>
      </c>
      <c r="D5" s="8"/>
      <c r="E5" s="15" t="s">
        <v>38</v>
      </c>
      <c r="F5" s="16" t="s">
        <v>42</v>
      </c>
      <c r="G5" s="8"/>
      <c r="H5" s="15" t="s">
        <v>23</v>
      </c>
      <c r="I5" s="16" t="s">
        <v>31</v>
      </c>
      <c r="J5" s="8"/>
      <c r="K5" s="15" t="s">
        <v>47</v>
      </c>
      <c r="L5" s="16" t="s">
        <v>36</v>
      </c>
      <c r="M5" s="8"/>
      <c r="N5" s="15" t="s">
        <v>45</v>
      </c>
      <c r="O5" s="16" t="s">
        <v>65</v>
      </c>
      <c r="Q5" s="10"/>
      <c r="R5" s="10"/>
      <c r="S5" s="10"/>
      <c r="T5" s="10"/>
      <c r="U5" s="10"/>
    </row>
    <row r="6" spans="2:21" ht="50.05" customHeight="1" x14ac:dyDescent="0.5">
      <c r="B6" s="15" t="s">
        <v>12</v>
      </c>
      <c r="C6" s="16" t="s">
        <v>21</v>
      </c>
      <c r="D6" s="8"/>
      <c r="E6" s="15" t="s">
        <v>5</v>
      </c>
      <c r="F6" s="16" t="s">
        <v>29</v>
      </c>
      <c r="G6" s="8"/>
      <c r="H6" s="15" t="s">
        <v>60</v>
      </c>
      <c r="I6" s="16" t="s">
        <v>39</v>
      </c>
      <c r="J6" s="8"/>
      <c r="K6" s="15" t="s">
        <v>15</v>
      </c>
      <c r="L6" s="16" t="s">
        <v>24</v>
      </c>
      <c r="M6" s="8"/>
      <c r="N6" s="15" t="s">
        <v>17</v>
      </c>
      <c r="O6" s="16" t="s">
        <v>7</v>
      </c>
      <c r="Q6" s="10"/>
      <c r="R6" s="10"/>
      <c r="S6" s="10"/>
      <c r="T6" s="10"/>
      <c r="U6" s="10"/>
    </row>
    <row r="7" spans="2:21" ht="50.05" customHeight="1" x14ac:dyDescent="0.5">
      <c r="B7" s="15" t="s">
        <v>52</v>
      </c>
      <c r="C7" s="16" t="s">
        <v>54</v>
      </c>
      <c r="D7" s="8"/>
      <c r="E7" s="15" t="s">
        <v>63</v>
      </c>
      <c r="F7" s="16" t="s">
        <v>35</v>
      </c>
      <c r="G7" s="8"/>
      <c r="H7" s="15" t="s">
        <v>64</v>
      </c>
      <c r="I7" s="16" t="s">
        <v>55</v>
      </c>
      <c r="J7" s="8"/>
      <c r="K7" s="15" t="s">
        <v>33</v>
      </c>
      <c r="L7" s="16" t="s">
        <v>1</v>
      </c>
      <c r="M7" s="8"/>
      <c r="N7" s="15" t="s">
        <v>67</v>
      </c>
      <c r="O7" s="16" t="s">
        <v>37</v>
      </c>
      <c r="Q7" s="10"/>
      <c r="R7" s="10"/>
      <c r="S7" s="10"/>
      <c r="T7" s="10"/>
      <c r="U7" s="10"/>
    </row>
    <row r="8" spans="2:21" ht="50.05" customHeight="1" x14ac:dyDescent="0.5">
      <c r="B8" s="15" t="s">
        <v>32</v>
      </c>
      <c r="C8" s="16" t="s">
        <v>8</v>
      </c>
      <c r="D8" s="8"/>
      <c r="E8" s="15" t="s">
        <v>53</v>
      </c>
      <c r="F8" s="16" t="s">
        <v>34</v>
      </c>
      <c r="G8" s="8"/>
      <c r="H8" s="15" t="s">
        <v>11</v>
      </c>
      <c r="I8" s="16" t="s">
        <v>22</v>
      </c>
      <c r="J8" s="8"/>
      <c r="K8" s="15" t="s">
        <v>49</v>
      </c>
      <c r="L8" s="16" t="s">
        <v>66</v>
      </c>
      <c r="M8" s="8"/>
      <c r="N8" s="15" t="s">
        <v>10</v>
      </c>
      <c r="O8" s="16" t="s">
        <v>16</v>
      </c>
      <c r="Q8" s="10"/>
      <c r="R8" s="10"/>
      <c r="S8" s="10"/>
      <c r="T8" s="10"/>
      <c r="U8" s="10"/>
    </row>
    <row r="9" spans="2:21" ht="50.05" customHeight="1" x14ac:dyDescent="0.5">
      <c r="B9" s="15" t="s">
        <v>51</v>
      </c>
      <c r="C9" s="16" t="s">
        <v>48</v>
      </c>
      <c r="D9" s="8"/>
      <c r="E9" s="15" t="s">
        <v>6</v>
      </c>
      <c r="F9" s="16" t="s">
        <v>9</v>
      </c>
      <c r="G9" s="8"/>
      <c r="H9" s="15" t="s">
        <v>40</v>
      </c>
      <c r="I9" s="16" t="s">
        <v>56</v>
      </c>
      <c r="J9" s="8"/>
      <c r="K9" s="15" t="s">
        <v>20</v>
      </c>
      <c r="L9" s="16" t="s">
        <v>27</v>
      </c>
      <c r="M9" s="8"/>
      <c r="N9" s="15" t="s">
        <v>59</v>
      </c>
      <c r="O9" s="16" t="s">
        <v>43</v>
      </c>
      <c r="Q9" s="10"/>
      <c r="R9" s="10"/>
      <c r="S9" s="10"/>
      <c r="T9" s="10"/>
      <c r="U9" s="10"/>
    </row>
    <row r="10" spans="2:21" ht="50.05" customHeight="1" thickBot="1" x14ac:dyDescent="0.55000000000000004">
      <c r="B10" s="17" t="s">
        <v>19</v>
      </c>
      <c r="C10" s="18" t="s">
        <v>26</v>
      </c>
      <c r="D10" s="8"/>
      <c r="E10" s="17" t="s">
        <v>44</v>
      </c>
      <c r="F10" s="18" t="s">
        <v>50</v>
      </c>
      <c r="G10" s="8"/>
      <c r="H10" s="17"/>
      <c r="I10" s="18" t="s">
        <v>18</v>
      </c>
      <c r="J10" s="8"/>
      <c r="K10" s="17" t="s">
        <v>41</v>
      </c>
      <c r="L10" s="18" t="s">
        <v>62</v>
      </c>
      <c r="M10" s="8"/>
      <c r="N10" s="17" t="s">
        <v>30</v>
      </c>
      <c r="O10" s="18" t="s">
        <v>25</v>
      </c>
      <c r="Q10" s="10"/>
      <c r="R10" s="10"/>
      <c r="S10" s="10"/>
      <c r="T10" s="10"/>
      <c r="U10" s="10"/>
    </row>
    <row r="11" spans="2:21" ht="30" customHeight="1" x14ac:dyDescent="0.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Q11" s="10"/>
      <c r="R11" s="10"/>
      <c r="S11" s="10"/>
      <c r="T11" s="10"/>
      <c r="U11" s="10"/>
    </row>
    <row r="12" spans="2:21" ht="50.05" customHeight="1" x14ac:dyDescent="0.5">
      <c r="B12" s="3"/>
      <c r="C12" s="3"/>
      <c r="D12" s="3"/>
      <c r="E12" s="3"/>
      <c r="F12" s="3"/>
      <c r="G12" s="3"/>
      <c r="H12" s="11"/>
      <c r="I12" s="12"/>
      <c r="J12" s="3"/>
      <c r="K12" s="3"/>
      <c r="L12" s="3"/>
      <c r="M12" s="3"/>
      <c r="N12" s="3"/>
      <c r="O12" s="3"/>
      <c r="Q12" s="10"/>
      <c r="R12" s="10"/>
      <c r="S12" s="10"/>
      <c r="T12" s="10"/>
      <c r="U12" s="10"/>
    </row>
    <row r="17" spans="11:12" x14ac:dyDescent="0.5">
      <c r="K17" s="2"/>
      <c r="L17" s="2"/>
    </row>
    <row r="18" spans="11:12" x14ac:dyDescent="0.5">
      <c r="K18" s="2"/>
      <c r="L18" s="2"/>
    </row>
  </sheetData>
  <mergeCells count="2">
    <mergeCell ref="Q2:U12"/>
    <mergeCell ref="H12:I12"/>
  </mergeCells>
  <phoneticPr fontId="1" type="noConversion"/>
  <printOptions horizontalCentered="1" verticalCentered="1"/>
  <pageMargins left="0.19685039370078741" right="0" top="0" bottom="0" header="0" footer="0"/>
  <pageSetup paperSize="9"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导入名单</vt:lpstr>
      <vt:lpstr>女生</vt:lpstr>
      <vt:lpstr>男生</vt:lpstr>
      <vt:lpstr>填充</vt:lpstr>
      <vt:lpstr>整理</vt:lpstr>
      <vt:lpstr>座位表</vt:lpstr>
      <vt:lpstr>座位表!Print_Area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欧纪阳</cp:lastModifiedBy>
  <cp:lastPrinted>2020-05-06T13:43:32Z</cp:lastPrinted>
  <dcterms:created xsi:type="dcterms:W3CDTF">2019-08-26T09:46:34Z</dcterms:created>
  <dcterms:modified xsi:type="dcterms:W3CDTF">2020-05-06T13:43:50Z</dcterms:modified>
</cp:coreProperties>
</file>